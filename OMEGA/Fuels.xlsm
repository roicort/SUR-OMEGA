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b498c457eda7df6/CEPAL- EE Col/Archivos de Modelación/"/>
    </mc:Choice>
  </mc:AlternateContent>
  <xr:revisionPtr revIDLastSave="19" documentId="8_{D44FD778-5E9E-4925-8DD5-A5EE191D7C0E}" xr6:coauthVersionLast="47" xr6:coauthVersionMax="47" xr10:uidLastSave="{1E35A2A9-D115-4F84-9764-319B01869883}"/>
  <bookViews>
    <workbookView xWindow="10890" yWindow="1110" windowWidth="15570" windowHeight="14985" xr2:uid="{00000000-000D-0000-FFFF-FFFF00000000}"/>
  </bookViews>
  <sheets>
    <sheet name="Fuel" sheetId="4" r:id="rId1"/>
    <sheet name="Validation List" sheetId="2" state="hidden" r:id="rId2"/>
    <sheet name="Errors" sheetId="5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 s="1"/>
  <c r="H5" i="4"/>
  <c r="H6" i="4" s="1"/>
  <c r="I5" i="4"/>
  <c r="I6" i="4" s="1"/>
  <c r="J5" i="4"/>
  <c r="J6" i="4" s="1"/>
  <c r="K5" i="4"/>
  <c r="K6" i="4" s="1"/>
  <c r="L5" i="4"/>
  <c r="L6" i="4" s="1"/>
  <c r="M5" i="4"/>
  <c r="M6" i="4" s="1"/>
  <c r="N5" i="4"/>
  <c r="N6" i="4" s="1"/>
  <c r="O5" i="4"/>
  <c r="O6" i="4" s="1"/>
  <c r="P5" i="4"/>
  <c r="P6" i="4" s="1"/>
  <c r="F5" i="4"/>
  <c r="F6" i="4" s="1"/>
  <c r="Q5" i="4"/>
  <c r="Q6" i="4" s="1"/>
  <c r="R5" i="4" l="1"/>
  <c r="R6" i="4" s="1"/>
  <c r="S5" i="4" l="1"/>
  <c r="S6" i="4" s="1"/>
  <c r="T5" i="4" l="1"/>
  <c r="T6" i="4" s="1"/>
  <c r="U5" i="4" l="1"/>
  <c r="U6" i="4" s="1"/>
  <c r="V5" i="4" l="1"/>
  <c r="V6" i="4" s="1"/>
  <c r="W5" i="4" l="1"/>
  <c r="W6" i="4" s="1"/>
  <c r="Y5" i="4" l="1"/>
  <c r="Y6" i="4" s="1"/>
  <c r="X5" i="4"/>
  <c r="X6" i="4" s="1"/>
</calcChain>
</file>

<file path=xl/sharedStrings.xml><?xml version="1.0" encoding="utf-8"?>
<sst xmlns="http://schemas.openxmlformats.org/spreadsheetml/2006/main" count="152" uniqueCount="78">
  <si>
    <t>Fuel Type</t>
  </si>
  <si>
    <t>Sheet</t>
  </si>
  <si>
    <t>Range</t>
  </si>
  <si>
    <t>Data Type</t>
  </si>
  <si>
    <t>Unique</t>
  </si>
  <si>
    <t>Min</t>
  </si>
  <si>
    <t>Max</t>
  </si>
  <si>
    <t>LookUp Range</t>
  </si>
  <si>
    <t>Allow Blank</t>
  </si>
  <si>
    <t>Row</t>
  </si>
  <si>
    <t>Col</t>
  </si>
  <si>
    <t>Error</t>
  </si>
  <si>
    <t>A:A</t>
  </si>
  <si>
    <t>no</t>
  </si>
  <si>
    <t>number</t>
  </si>
  <si>
    <t>B:B</t>
  </si>
  <si>
    <t>string</t>
  </si>
  <si>
    <t>C:C</t>
  </si>
  <si>
    <t>D:D</t>
  </si>
  <si>
    <t>E:E</t>
  </si>
  <si>
    <t>F:F</t>
  </si>
  <si>
    <t>G:G</t>
  </si>
  <si>
    <t>H:H</t>
  </si>
  <si>
    <t>I:I</t>
  </si>
  <si>
    <t>J:J</t>
  </si>
  <si>
    <t>K:K</t>
  </si>
  <si>
    <t>L:L</t>
  </si>
  <si>
    <t>M:M</t>
  </si>
  <si>
    <t>N:N</t>
  </si>
  <si>
    <t>O:O</t>
  </si>
  <si>
    <t>P:P</t>
  </si>
  <si>
    <t>Q:Q</t>
  </si>
  <si>
    <t>R:R</t>
  </si>
  <si>
    <t>S:S</t>
  </si>
  <si>
    <t>T:T</t>
  </si>
  <si>
    <t>U:U</t>
  </si>
  <si>
    <t>V:V</t>
  </si>
  <si>
    <t>W:W</t>
  </si>
  <si>
    <t>X:X</t>
  </si>
  <si>
    <t>Fuel</t>
  </si>
  <si>
    <t>G</t>
  </si>
  <si>
    <t>Excludes</t>
  </si>
  <si>
    <t>D</t>
  </si>
  <si>
    <t>EL</t>
  </si>
  <si>
    <t>Energy Density (Btu/gal or Btu/kWh)</t>
  </si>
  <si>
    <t>Carbon Density (gC/gal or gC/kWh)</t>
  </si>
  <si>
    <t>Mass Density (g/gal)</t>
  </si>
  <si>
    <t>Price - Year 1       ($/gal or $/kWh)</t>
  </si>
  <si>
    <t>Price - Year 2       ($/gal or $/kWh)</t>
  </si>
  <si>
    <t>Price - Year 3       ($/gal or $/kWh)</t>
  </si>
  <si>
    <t>Price - Year 4       ($/gal or $/kWh)</t>
  </si>
  <si>
    <t>Price - Year 5       ($/gal or $/kWh)</t>
  </si>
  <si>
    <t>Price - Year 6       ($/gal or $/kWh)</t>
  </si>
  <si>
    <t>Price - Year 7       ($/gal or $/kWh)</t>
  </si>
  <si>
    <t>Price - Year 8       ($/gal or $/kWh)</t>
  </si>
  <si>
    <t>Price - Year 9       ($/gal or $/kWh)</t>
  </si>
  <si>
    <t>Price - Year 10       ($/gal or $/kWh)</t>
  </si>
  <si>
    <t>Price - Year 11       ($/gal or $/kWh)</t>
  </si>
  <si>
    <t>Price - Year 12       ($/gal or $/kWh)</t>
  </si>
  <si>
    <t>Price - Year 13       ($/gal or $/kWh)</t>
  </si>
  <si>
    <t>Price - Year 14       ($/gal or $/kWh)</t>
  </si>
  <si>
    <t>Price - Year 15       ($/gal or $/kWh)</t>
  </si>
  <si>
    <t>Price - Year 16       ($/gal or $/kWh)</t>
  </si>
  <si>
    <t>Price - Year 17       ($/gal or $/kWh)</t>
  </si>
  <si>
    <t>Price - Year 18       ($/gal or $/kWh)</t>
  </si>
  <si>
    <t>Price - Year 19       ($/gal or $/kWh)</t>
  </si>
  <si>
    <t>Price - Year 20       ($/gal or $/kWh)</t>
  </si>
  <si>
    <t>CAFÉ Equiv. Factor
(gal/gal or gal/kWh)</t>
  </si>
  <si>
    <t>Energy Density</t>
  </si>
  <si>
    <t>Mass Density</t>
  </si>
  <si>
    <t>Carbon Density</t>
  </si>
  <si>
    <t>CAFÉ Equiv. Factor</t>
  </si>
  <si>
    <t>Y:Y</t>
  </si>
  <si>
    <t>E10</t>
  </si>
  <si>
    <t>G,D,EL,E10,E85</t>
  </si>
  <si>
    <t>Value (0) must be equal to or greater than 1.</t>
  </si>
  <si>
    <t>Validation date: 8/23/2010 3:38:59 PM</t>
  </si>
  <si>
    <t>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</si>
</sst>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0"/>
      <name val="Arial"/>
    </font>
    <font>
      <sz val="10"/>
      <name val="Century Gothic"/>
      <family val="2"/>
    </font>
    <font>
      <sz val="8"/>
      <name val="Arial"/>
      <family val="2"/>
    </font>
    <font>
      <b/>
      <sz val="9"/>
      <name val="Century Gothic"/>
      <family val="2"/>
    </font>
    <font>
      <sz val="9"/>
      <name val="Century Gothic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0" xfId="0" applyFont="1" applyProtection="1">
      <protection locked="0"/>
    </xf>
    <xf numFmtId="0" fontId="3" fillId="0" borderId="0" xfId="0" applyFont="1" applyProtection="1"/>
    <xf numFmtId="0" fontId="4" fillId="0" borderId="0" xfId="0" applyFont="1" applyProtection="1"/>
    <xf numFmtId="0" fontId="1" fillId="0" borderId="1" xfId="0" applyFont="1" applyBorder="1" applyProtection="1">
      <protection locked="0"/>
    </xf>
    <xf numFmtId="2" fontId="1" fillId="2" borderId="1" xfId="0" applyNumberFormat="1" applyFont="1" applyFill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right"/>
      <protection locked="0"/>
    </xf>
    <xf numFmtId="0" fontId="4" fillId="0" borderId="1" xfId="0" applyFont="1" applyFill="1" applyBorder="1" applyAlignment="1" applyProtection="1">
      <alignment horizontal="center" textRotation="90"/>
      <protection locked="0"/>
    </xf>
    <xf numFmtId="0" fontId="3" fillId="0" borderId="2" xfId="0" applyFont="1" applyFill="1" applyBorder="1" applyAlignment="1" applyProtection="1">
      <alignment horizontal="center" textRotation="90" wrapText="1"/>
    </xf>
    <xf numFmtId="2" fontId="1" fillId="0" borderId="1" xfId="0" applyNumberFormat="1" applyFont="1" applyBorder="1" applyProtection="1">
      <protection locked="0"/>
    </xf>
    <xf numFmtId="2" fontId="1" fillId="2" borderId="1" xfId="0" applyNumberFormat="1" applyFont="1" applyFill="1" applyBorder="1" applyProtection="1">
      <protection locked="0"/>
    </xf>
    <xf numFmtId="3" fontId="1" fillId="2" borderId="1" xfId="0" applyNumberFormat="1" applyFont="1" applyFill="1" applyBorder="1" applyAlignment="1" applyProtection="1">
      <alignment horizontal="right" vertical="center" wrapText="1"/>
      <protection locked="0"/>
    </xf>
    <xf numFmtId="0" fontId="1" fillId="2" borderId="2" xfId="0" applyFont="1" applyFill="1" applyBorder="1" applyAlignment="1" applyProtection="1">
      <alignment horizontal="right"/>
      <protection locked="0"/>
    </xf>
    <xf numFmtId="0" fontId="3" fillId="3" borderId="2" xfId="0" applyFont="1" applyFill="1" applyBorder="1" applyAlignment="1" applyProtection="1">
      <alignment horizontal="center" textRotation="90" wrapText="1"/>
    </xf>
    <xf numFmtId="0" fontId="3" fillId="4" borderId="1" xfId="0" applyFont="1" applyFill="1" applyBorder="1" applyAlignment="1" applyProtection="1">
      <alignment horizontal="center" textRotation="90" wrapText="1"/>
    </xf>
    <xf numFmtId="3" fontId="1" fillId="2" borderId="1" xfId="0" applyNumberFormat="1" applyFont="1" applyFill="1" applyBorder="1" applyAlignment="1" applyProtection="1">
      <alignment horizontal="right"/>
      <protection locked="0"/>
    </xf>
    <xf numFmtId="0" fontId="1" fillId="2" borderId="1" xfId="0" applyFont="1" applyFill="1" applyBorder="1" applyProtection="1">
      <protection locked="0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Fill="1" applyBorder="1" applyAlignment="1" applyProtection="1">
      <alignment horizontal="center" textRotation="90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5" borderId="1" xfId="0" applyFont="1" applyFill="1" applyBorder="1" applyProtection="1">
      <protection locked="0"/>
    </xf>
    <xf numFmtId="164" fontId="1" fillId="6" borderId="1" xfId="0" applyNumberFormat="1" applyFont="1" applyFill="1" applyBorder="1" applyProtection="1">
      <protection locked="0"/>
    </xf>
    <xf numFmtId="2" fontId="0" fillId="7" borderId="0" xfId="0" applyNumberFormat="1" applyFill="1" applyProtection="1">
      <protection locked="0"/>
    </xf>
    <xf numFmtId="2" fontId="1" fillId="7" borderId="1" xfId="0" applyNumberFormat="1" applyFont="1" applyFill="1" applyBorder="1" applyProtection="1">
      <protection locked="0"/>
    </xf>
    <xf numFmtId="2" fontId="1" fillId="7" borderId="1" xfId="0" applyNumberFormat="1" applyFont="1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133350</xdr:rowOff>
        </xdr:from>
        <xdr:to>
          <xdr:col>0</xdr:col>
          <xdr:colOff>0</xdr:colOff>
          <xdr:row>0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0</xdr:row>
          <xdr:rowOff>19050</xdr:rowOff>
        </xdr:from>
        <xdr:to>
          <xdr:col>4</xdr:col>
          <xdr:colOff>1409700</xdr:colOff>
          <xdr:row>0</xdr:row>
          <xdr:rowOff>314325</xdr:rowOff>
        </xdr:to>
        <xdr:sp macro="" textlink="">
          <xdr:nvSpPr>
            <xdr:cNvPr id="1030" name="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6"/>
  <sheetViews>
    <sheetView tabSelected="1" workbookViewId="0">
      <pane ySplit="1" topLeftCell="A2" activePane="bottomLeft" state="frozen"/>
      <selection pane="bottomLeft" activeCell="H13" sqref="H13"/>
    </sheetView>
  </sheetViews>
  <sheetFormatPr baseColWidth="10" defaultColWidth="9.140625" defaultRowHeight="13.5" x14ac:dyDescent="0.25"/>
  <cols>
    <col min="1" max="1" width="13.28515625" style="21" customWidth="1"/>
    <col min="2" max="2" width="11.5703125" style="6" customWidth="1"/>
    <col min="3" max="4" width="11.140625" style="4" customWidth="1"/>
    <col min="5" max="6" width="7.85546875" style="4" customWidth="1"/>
    <col min="7" max="7" width="8.140625" style="9" customWidth="1"/>
    <col min="8" max="8" width="8.5703125" style="9" customWidth="1"/>
    <col min="9" max="9" width="7" style="9" customWidth="1"/>
    <col min="10" max="11" width="7.85546875" style="9" customWidth="1"/>
    <col min="12" max="25" width="9.140625" style="9"/>
    <col min="26" max="16384" width="9.140625" style="4"/>
  </cols>
  <sheetData>
    <row r="1" spans="1:25" s="7" customFormat="1" ht="98.25" customHeight="1" x14ac:dyDescent="0.2">
      <c r="A1" s="14" t="s">
        <v>0</v>
      </c>
      <c r="B1" s="19" t="s">
        <v>44</v>
      </c>
      <c r="C1" s="13" t="s">
        <v>46</v>
      </c>
      <c r="D1" s="8" t="s">
        <v>45</v>
      </c>
      <c r="E1" s="19" t="s">
        <v>67</v>
      </c>
      <c r="F1" s="19" t="s">
        <v>47</v>
      </c>
      <c r="G1" s="19" t="s">
        <v>48</v>
      </c>
      <c r="H1" s="19" t="s">
        <v>49</v>
      </c>
      <c r="I1" s="19" t="s">
        <v>50</v>
      </c>
      <c r="J1" s="19" t="s">
        <v>51</v>
      </c>
      <c r="K1" s="19" t="s">
        <v>52</v>
      </c>
      <c r="L1" s="19" t="s">
        <v>53</v>
      </c>
      <c r="M1" s="19" t="s">
        <v>54</v>
      </c>
      <c r="N1" s="19" t="s">
        <v>55</v>
      </c>
      <c r="O1" s="19" t="s">
        <v>56</v>
      </c>
      <c r="P1" s="19" t="s">
        <v>57</v>
      </c>
      <c r="Q1" s="19" t="s">
        <v>58</v>
      </c>
      <c r="R1" s="19" t="s">
        <v>59</v>
      </c>
      <c r="S1" s="19" t="s">
        <v>60</v>
      </c>
      <c r="T1" s="19" t="s">
        <v>61</v>
      </c>
      <c r="U1" s="19" t="s">
        <v>62</v>
      </c>
      <c r="V1" s="19" t="s">
        <v>63</v>
      </c>
      <c r="W1" s="19" t="s">
        <v>64</v>
      </c>
      <c r="X1" s="19" t="s">
        <v>65</v>
      </c>
      <c r="Y1" s="19" t="s">
        <v>66</v>
      </c>
    </row>
    <row r="2" spans="1:25" x14ac:dyDescent="0.25">
      <c r="A2" s="20" t="s">
        <v>40</v>
      </c>
      <c r="B2" s="11">
        <v>121292</v>
      </c>
      <c r="C2" s="12">
        <v>2819</v>
      </c>
      <c r="D2" s="12">
        <v>2424</v>
      </c>
      <c r="E2" s="5">
        <v>1</v>
      </c>
      <c r="F2" s="24">
        <v>2.74</v>
      </c>
      <c r="G2" s="24">
        <v>2.7826000000000004</v>
      </c>
      <c r="H2" s="24">
        <v>2.8252000000000006</v>
      </c>
      <c r="I2" s="24">
        <v>2.8678000000000008</v>
      </c>
      <c r="J2" s="24">
        <v>2.910400000000001</v>
      </c>
      <c r="K2" s="24">
        <v>2.9530000000000012</v>
      </c>
      <c r="L2" s="24">
        <v>2.9956000000000014</v>
      </c>
      <c r="M2" s="24">
        <v>3.0382000000000016</v>
      </c>
      <c r="N2" s="24">
        <v>3.0808000000000018</v>
      </c>
      <c r="O2" s="24">
        <v>3.123400000000002</v>
      </c>
      <c r="P2" s="24">
        <v>3.1660000000000021</v>
      </c>
      <c r="Q2" s="24">
        <v>3.2086000000000023</v>
      </c>
      <c r="R2" s="24">
        <v>3.2512000000000025</v>
      </c>
      <c r="S2" s="24">
        <v>3.2938000000000027</v>
      </c>
      <c r="T2" s="24">
        <v>3.3364000000000029</v>
      </c>
      <c r="U2" s="24">
        <v>3.3790000000000031</v>
      </c>
      <c r="V2" s="24">
        <v>3.4216000000000033</v>
      </c>
      <c r="W2" s="24">
        <v>3.4642000000000035</v>
      </c>
      <c r="X2" s="24">
        <v>3.5068000000000037</v>
      </c>
      <c r="Y2" s="24">
        <v>3.5494000000000039</v>
      </c>
    </row>
    <row r="3" spans="1:25" x14ac:dyDescent="0.25">
      <c r="A3" s="20" t="s">
        <v>42</v>
      </c>
      <c r="B3" s="11">
        <v>124350</v>
      </c>
      <c r="C3" s="12">
        <v>2819</v>
      </c>
      <c r="D3" s="12">
        <v>2424</v>
      </c>
      <c r="E3" s="10">
        <v>1</v>
      </c>
      <c r="F3" s="25">
        <v>2.64</v>
      </c>
      <c r="G3" s="25">
        <v>2.6689000000000003</v>
      </c>
      <c r="H3" s="25">
        <v>2.6978000000000004</v>
      </c>
      <c r="I3" s="25">
        <v>2.7267000000000006</v>
      </c>
      <c r="J3" s="25">
        <v>2.7556000000000007</v>
      </c>
      <c r="K3" s="25">
        <v>2.7845000000000009</v>
      </c>
      <c r="L3" s="25">
        <v>2.813400000000001</v>
      </c>
      <c r="M3" s="25">
        <v>2.8423000000000012</v>
      </c>
      <c r="N3" s="25">
        <v>2.8712000000000013</v>
      </c>
      <c r="O3" s="25">
        <v>2.9001000000000015</v>
      </c>
      <c r="P3" s="25">
        <v>2.9290000000000016</v>
      </c>
      <c r="Q3" s="25">
        <v>2.9579000000000018</v>
      </c>
      <c r="R3" s="25">
        <v>2.9868000000000019</v>
      </c>
      <c r="S3" s="25">
        <v>3.015700000000002</v>
      </c>
      <c r="T3" s="25">
        <v>3.0446000000000022</v>
      </c>
      <c r="U3" s="25">
        <v>3.0735000000000023</v>
      </c>
      <c r="V3" s="25">
        <v>3.1024000000000025</v>
      </c>
      <c r="W3" s="25">
        <v>3.1313000000000026</v>
      </c>
      <c r="X3" s="25">
        <v>3.1602000000000028</v>
      </c>
      <c r="Y3" s="25">
        <v>3.1891000000000029</v>
      </c>
    </row>
    <row r="4" spans="1:25" x14ac:dyDescent="0.25">
      <c r="A4" s="20" t="s">
        <v>43</v>
      </c>
      <c r="B4" s="15">
        <v>3409.52</v>
      </c>
      <c r="C4" s="16">
        <v>0</v>
      </c>
      <c r="D4" s="22">
        <v>0</v>
      </c>
      <c r="E4" s="10">
        <v>0</v>
      </c>
      <c r="F4" s="23">
        <v>0.11006697999999999</v>
      </c>
      <c r="G4" s="23">
        <v>0.11053922999999999</v>
      </c>
      <c r="H4" s="23">
        <v>0.11113303000000001</v>
      </c>
      <c r="I4" s="23">
        <v>0.11168185</v>
      </c>
      <c r="J4" s="23">
        <v>0.11305345999999999</v>
      </c>
      <c r="K4" s="23">
        <v>0.11415081000000001</v>
      </c>
      <c r="L4" s="23">
        <v>0.11535299</v>
      </c>
      <c r="M4" s="23">
        <v>0.11638177000000001</v>
      </c>
      <c r="N4" s="23">
        <v>0.11688273</v>
      </c>
      <c r="O4" s="23">
        <v>0.11769536</v>
      </c>
      <c r="P4" s="23">
        <v>0.11843308999999999</v>
      </c>
      <c r="Q4" s="23">
        <v>0.11926212163</v>
      </c>
      <c r="R4" s="23">
        <v>0.12009695648140997</v>
      </c>
      <c r="S4" s="23">
        <v>0.12093763517677983</v>
      </c>
      <c r="T4" s="23">
        <v>0.12178419862301729</v>
      </c>
      <c r="U4" s="23">
        <v>0.1226366880133784</v>
      </c>
      <c r="V4" s="23">
        <v>0.12349514482947203</v>
      </c>
      <c r="W4" s="23">
        <v>0.12435961084327833</v>
      </c>
      <c r="X4" s="23">
        <v>0.12523012811918124</v>
      </c>
      <c r="Y4" s="23">
        <v>0.12610673901601552</v>
      </c>
    </row>
    <row r="5" spans="1:25" x14ac:dyDescent="0.25">
      <c r="A5" s="20" t="s">
        <v>73</v>
      </c>
      <c r="B5" s="11">
        <v>121292</v>
      </c>
      <c r="C5" s="16">
        <v>2819</v>
      </c>
      <c r="D5" s="12">
        <v>2424</v>
      </c>
      <c r="E5" s="16">
        <v>1</v>
      </c>
      <c r="F5" s="26">
        <f>F3</f>
        <v>2.64</v>
      </c>
      <c r="G5" s="26">
        <f t="shared" ref="G5:Y5" si="0">G3</f>
        <v>2.6689000000000003</v>
      </c>
      <c r="H5" s="26">
        <f t="shared" si="0"/>
        <v>2.6978000000000004</v>
      </c>
      <c r="I5" s="26">
        <f t="shared" si="0"/>
        <v>2.7267000000000006</v>
      </c>
      <c r="J5" s="26">
        <f t="shared" si="0"/>
        <v>2.7556000000000007</v>
      </c>
      <c r="K5" s="26">
        <f t="shared" si="0"/>
        <v>2.7845000000000009</v>
      </c>
      <c r="L5" s="26">
        <f t="shared" si="0"/>
        <v>2.813400000000001</v>
      </c>
      <c r="M5" s="26">
        <f t="shared" si="0"/>
        <v>2.8423000000000012</v>
      </c>
      <c r="N5" s="26">
        <f t="shared" si="0"/>
        <v>2.8712000000000013</v>
      </c>
      <c r="O5" s="26">
        <f t="shared" si="0"/>
        <v>2.9001000000000015</v>
      </c>
      <c r="P5" s="26">
        <f t="shared" si="0"/>
        <v>2.9290000000000016</v>
      </c>
      <c r="Q5" s="26">
        <f t="shared" si="0"/>
        <v>2.9579000000000018</v>
      </c>
      <c r="R5" s="26">
        <f t="shared" si="0"/>
        <v>2.9868000000000019</v>
      </c>
      <c r="S5" s="26">
        <f t="shared" si="0"/>
        <v>3.015700000000002</v>
      </c>
      <c r="T5" s="26">
        <f t="shared" si="0"/>
        <v>3.0446000000000022</v>
      </c>
      <c r="U5" s="26">
        <f t="shared" si="0"/>
        <v>3.0735000000000023</v>
      </c>
      <c r="V5" s="26">
        <f t="shared" si="0"/>
        <v>3.1024000000000025</v>
      </c>
      <c r="W5" s="26">
        <f t="shared" si="0"/>
        <v>3.1313000000000026</v>
      </c>
      <c r="X5" s="26">
        <f t="shared" si="0"/>
        <v>3.1602000000000028</v>
      </c>
      <c r="Y5" s="26">
        <f t="shared" si="0"/>
        <v>3.1891000000000029</v>
      </c>
    </row>
    <row r="6" spans="1:25" x14ac:dyDescent="0.25">
      <c r="A6" s="21" t="s">
        <v>77</v>
      </c>
      <c r="B6" s="11">
        <v>121292</v>
      </c>
      <c r="C6" s="16">
        <v>2819</v>
      </c>
      <c r="D6" s="12">
        <v>2424</v>
      </c>
      <c r="E6" s="16">
        <v>1</v>
      </c>
      <c r="F6" s="26">
        <f>F5</f>
        <v>2.64</v>
      </c>
      <c r="G6" s="26">
        <f t="shared" ref="G6:Y6" si="1">G5</f>
        <v>2.6689000000000003</v>
      </c>
      <c r="H6" s="26">
        <f t="shared" si="1"/>
        <v>2.6978000000000004</v>
      </c>
      <c r="I6" s="26">
        <f t="shared" si="1"/>
        <v>2.7267000000000006</v>
      </c>
      <c r="J6" s="26">
        <f t="shared" si="1"/>
        <v>2.7556000000000007</v>
      </c>
      <c r="K6" s="26">
        <f t="shared" si="1"/>
        <v>2.7845000000000009</v>
      </c>
      <c r="L6" s="26">
        <f t="shared" si="1"/>
        <v>2.813400000000001</v>
      </c>
      <c r="M6" s="26">
        <f t="shared" si="1"/>
        <v>2.8423000000000012</v>
      </c>
      <c r="N6" s="26">
        <f t="shared" si="1"/>
        <v>2.8712000000000013</v>
      </c>
      <c r="O6" s="26">
        <f t="shared" si="1"/>
        <v>2.9001000000000015</v>
      </c>
      <c r="P6" s="26">
        <f t="shared" si="1"/>
        <v>2.9290000000000016</v>
      </c>
      <c r="Q6" s="26">
        <f t="shared" si="1"/>
        <v>2.9579000000000018</v>
      </c>
      <c r="R6" s="26">
        <f t="shared" si="1"/>
        <v>2.9868000000000019</v>
      </c>
      <c r="S6" s="26">
        <f t="shared" si="1"/>
        <v>3.015700000000002</v>
      </c>
      <c r="T6" s="26">
        <f t="shared" si="1"/>
        <v>3.0446000000000022</v>
      </c>
      <c r="U6" s="26">
        <f t="shared" si="1"/>
        <v>3.0735000000000023</v>
      </c>
      <c r="V6" s="26">
        <f t="shared" si="1"/>
        <v>3.1024000000000025</v>
      </c>
      <c r="W6" s="26">
        <f t="shared" si="1"/>
        <v>3.1313000000000026</v>
      </c>
      <c r="X6" s="26">
        <f t="shared" si="1"/>
        <v>3.1602000000000028</v>
      </c>
      <c r="Y6" s="26">
        <f t="shared" si="1"/>
        <v>3.1891000000000029</v>
      </c>
    </row>
  </sheetData>
  <sheetProtection password="CA0F" sheet="1" objects="1" scenarios="1" formatCells="0" formatRows="0" insertRows="0" deleteRows="0" selectLockedCells="1"/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6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baseColWidth="10" defaultColWidth="9.140625" defaultRowHeight="14.25" x14ac:dyDescent="0.3"/>
  <cols>
    <col min="1" max="1" width="18.5703125" style="1" customWidth="1"/>
    <col min="2" max="2" width="13.42578125" style="1" customWidth="1"/>
    <col min="3" max="3" width="15" style="1" customWidth="1"/>
    <col min="4" max="6" width="9.140625" style="1"/>
    <col min="7" max="7" width="16.42578125" style="1" customWidth="1"/>
    <col min="8" max="8" width="15" style="1" customWidth="1"/>
    <col min="9" max="9" width="16.140625" style="1" customWidth="1"/>
    <col min="10" max="10" width="19.28515625" style="1" customWidth="1"/>
    <col min="11" max="16384" width="9.140625" style="1"/>
  </cols>
  <sheetData>
    <row r="1" spans="1:11" x14ac:dyDescent="0.3">
      <c r="A1" s="17" t="s">
        <v>1</v>
      </c>
      <c r="B1" s="17" t="s">
        <v>2</v>
      </c>
      <c r="C1" s="17" t="s">
        <v>3</v>
      </c>
      <c r="D1" s="17" t="s">
        <v>4</v>
      </c>
      <c r="E1" s="17" t="s">
        <v>5</v>
      </c>
      <c r="F1" s="17" t="s">
        <v>6</v>
      </c>
      <c r="G1" s="17" t="s">
        <v>7</v>
      </c>
      <c r="H1" s="17" t="s">
        <v>41</v>
      </c>
      <c r="I1" s="17" t="s">
        <v>8</v>
      </c>
      <c r="J1" s="17"/>
      <c r="K1" s="18"/>
    </row>
    <row r="2" spans="1:11" x14ac:dyDescent="0.3">
      <c r="A2" s="1" t="s">
        <v>39</v>
      </c>
      <c r="B2" s="1" t="s">
        <v>12</v>
      </c>
      <c r="C2" s="1" t="s">
        <v>16</v>
      </c>
      <c r="G2" s="1" t="s">
        <v>74</v>
      </c>
      <c r="H2" s="1">
        <v>1</v>
      </c>
      <c r="I2" s="1" t="s">
        <v>13</v>
      </c>
    </row>
    <row r="3" spans="1:11" x14ac:dyDescent="0.3">
      <c r="A3" s="1" t="s">
        <v>39</v>
      </c>
      <c r="B3" s="1" t="s">
        <v>15</v>
      </c>
      <c r="C3" s="1" t="s">
        <v>14</v>
      </c>
      <c r="E3" s="1">
        <v>1</v>
      </c>
      <c r="H3" s="1">
        <v>1</v>
      </c>
      <c r="I3" s="1" t="s">
        <v>13</v>
      </c>
      <c r="J3" s="1" t="s">
        <v>68</v>
      </c>
    </row>
    <row r="4" spans="1:11" x14ac:dyDescent="0.3">
      <c r="A4" s="1" t="s">
        <v>39</v>
      </c>
      <c r="B4" s="1" t="s">
        <v>17</v>
      </c>
      <c r="C4" s="1" t="s">
        <v>14</v>
      </c>
      <c r="E4" s="1">
        <v>0</v>
      </c>
      <c r="H4" s="1">
        <v>1</v>
      </c>
      <c r="I4" s="1" t="s">
        <v>13</v>
      </c>
      <c r="J4" s="1" t="s">
        <v>69</v>
      </c>
    </row>
    <row r="5" spans="1:11" x14ac:dyDescent="0.3">
      <c r="A5" s="1" t="s">
        <v>39</v>
      </c>
      <c r="B5" s="1" t="s">
        <v>18</v>
      </c>
      <c r="C5" s="1" t="s">
        <v>14</v>
      </c>
      <c r="E5" s="1">
        <v>1</v>
      </c>
      <c r="H5" s="1">
        <v>1</v>
      </c>
      <c r="I5" s="1" t="s">
        <v>13</v>
      </c>
      <c r="J5" s="1" t="s">
        <v>70</v>
      </c>
    </row>
    <row r="6" spans="1:11" x14ac:dyDescent="0.3">
      <c r="A6" s="1" t="s">
        <v>39</v>
      </c>
      <c r="B6" s="1" t="s">
        <v>19</v>
      </c>
      <c r="C6" s="1" t="s">
        <v>14</v>
      </c>
      <c r="E6" s="1">
        <v>0</v>
      </c>
      <c r="F6" s="1">
        <v>2</v>
      </c>
      <c r="H6" s="1">
        <v>1</v>
      </c>
      <c r="I6" s="1" t="s">
        <v>13</v>
      </c>
      <c r="J6" s="1" t="s">
        <v>71</v>
      </c>
    </row>
    <row r="7" spans="1:11" x14ac:dyDescent="0.3">
      <c r="A7" s="1" t="s">
        <v>39</v>
      </c>
      <c r="B7" s="1" t="s">
        <v>20</v>
      </c>
      <c r="C7" s="1" t="s">
        <v>14</v>
      </c>
      <c r="E7" s="1">
        <v>0</v>
      </c>
      <c r="F7" s="1">
        <v>10</v>
      </c>
      <c r="H7" s="1">
        <v>1</v>
      </c>
      <c r="I7" s="1" t="s">
        <v>13</v>
      </c>
    </row>
    <row r="8" spans="1:11" x14ac:dyDescent="0.3">
      <c r="A8" s="1" t="s">
        <v>39</v>
      </c>
      <c r="B8" s="1" t="s">
        <v>21</v>
      </c>
      <c r="C8" s="1" t="s">
        <v>14</v>
      </c>
      <c r="E8" s="1">
        <v>0</v>
      </c>
      <c r="F8" s="1">
        <v>10</v>
      </c>
      <c r="H8" s="1">
        <v>1</v>
      </c>
      <c r="I8" s="1" t="s">
        <v>13</v>
      </c>
    </row>
    <row r="9" spans="1:11" x14ac:dyDescent="0.3">
      <c r="A9" s="1" t="s">
        <v>39</v>
      </c>
      <c r="B9" s="1" t="s">
        <v>22</v>
      </c>
      <c r="C9" s="1" t="s">
        <v>14</v>
      </c>
      <c r="E9" s="1">
        <v>0</v>
      </c>
      <c r="F9" s="1">
        <v>10</v>
      </c>
      <c r="H9" s="1">
        <v>1</v>
      </c>
      <c r="I9" s="1" t="s">
        <v>13</v>
      </c>
    </row>
    <row r="10" spans="1:11" x14ac:dyDescent="0.3">
      <c r="A10" s="1" t="s">
        <v>39</v>
      </c>
      <c r="B10" s="1" t="s">
        <v>23</v>
      </c>
      <c r="C10" s="1" t="s">
        <v>14</v>
      </c>
      <c r="E10" s="1">
        <v>0</v>
      </c>
      <c r="F10" s="1">
        <v>10</v>
      </c>
      <c r="H10" s="1">
        <v>1</v>
      </c>
      <c r="I10" s="1" t="s">
        <v>13</v>
      </c>
    </row>
    <row r="11" spans="1:11" x14ac:dyDescent="0.3">
      <c r="A11" s="1" t="s">
        <v>39</v>
      </c>
      <c r="B11" s="1" t="s">
        <v>24</v>
      </c>
      <c r="C11" s="1" t="s">
        <v>14</v>
      </c>
      <c r="E11" s="1">
        <v>0</v>
      </c>
      <c r="F11" s="1">
        <v>10</v>
      </c>
      <c r="H11" s="1">
        <v>1</v>
      </c>
      <c r="I11" s="1" t="s">
        <v>13</v>
      </c>
    </row>
    <row r="12" spans="1:11" x14ac:dyDescent="0.3">
      <c r="A12" s="1" t="s">
        <v>39</v>
      </c>
      <c r="B12" s="1" t="s">
        <v>25</v>
      </c>
      <c r="C12" s="1" t="s">
        <v>14</v>
      </c>
      <c r="E12" s="1">
        <v>0</v>
      </c>
      <c r="F12" s="1">
        <v>10</v>
      </c>
      <c r="H12" s="1">
        <v>1</v>
      </c>
      <c r="I12" s="1" t="s">
        <v>13</v>
      </c>
    </row>
    <row r="13" spans="1:11" x14ac:dyDescent="0.3">
      <c r="A13" s="1" t="s">
        <v>39</v>
      </c>
      <c r="B13" s="1" t="s">
        <v>26</v>
      </c>
      <c r="C13" s="1" t="s">
        <v>14</v>
      </c>
      <c r="E13" s="1">
        <v>0</v>
      </c>
      <c r="F13" s="1">
        <v>10</v>
      </c>
      <c r="H13" s="1">
        <v>1</v>
      </c>
      <c r="I13" s="1" t="s">
        <v>13</v>
      </c>
    </row>
    <row r="14" spans="1:11" x14ac:dyDescent="0.3">
      <c r="A14" s="1" t="s">
        <v>39</v>
      </c>
      <c r="B14" s="1" t="s">
        <v>27</v>
      </c>
      <c r="C14" s="1" t="s">
        <v>14</v>
      </c>
      <c r="E14" s="1">
        <v>0</v>
      </c>
      <c r="F14" s="1">
        <v>10</v>
      </c>
      <c r="H14" s="1">
        <v>1</v>
      </c>
      <c r="I14" s="1" t="s">
        <v>13</v>
      </c>
    </row>
    <row r="15" spans="1:11" x14ac:dyDescent="0.3">
      <c r="A15" s="1" t="s">
        <v>39</v>
      </c>
      <c r="B15" s="1" t="s">
        <v>28</v>
      </c>
      <c r="C15" s="1" t="s">
        <v>14</v>
      </c>
      <c r="E15" s="1">
        <v>0</v>
      </c>
      <c r="F15" s="1">
        <v>10</v>
      </c>
      <c r="H15" s="1">
        <v>1</v>
      </c>
      <c r="I15" s="1" t="s">
        <v>13</v>
      </c>
    </row>
    <row r="16" spans="1:11" x14ac:dyDescent="0.3">
      <c r="A16" s="1" t="s">
        <v>39</v>
      </c>
      <c r="B16" s="1" t="s">
        <v>29</v>
      </c>
      <c r="C16" s="1" t="s">
        <v>14</v>
      </c>
      <c r="E16" s="1">
        <v>0</v>
      </c>
      <c r="F16" s="1">
        <v>10</v>
      </c>
      <c r="H16" s="1">
        <v>1</v>
      </c>
      <c r="I16" s="1" t="s">
        <v>13</v>
      </c>
    </row>
    <row r="17" spans="1:9" x14ac:dyDescent="0.3">
      <c r="A17" s="1" t="s">
        <v>39</v>
      </c>
      <c r="B17" s="1" t="s">
        <v>30</v>
      </c>
      <c r="C17" s="1" t="s">
        <v>14</v>
      </c>
      <c r="E17" s="1">
        <v>0</v>
      </c>
      <c r="F17" s="1">
        <v>10</v>
      </c>
      <c r="H17" s="1">
        <v>1</v>
      </c>
      <c r="I17" s="1" t="s">
        <v>13</v>
      </c>
    </row>
    <row r="18" spans="1:9" x14ac:dyDescent="0.3">
      <c r="A18" s="1" t="s">
        <v>39</v>
      </c>
      <c r="B18" s="1" t="s">
        <v>31</v>
      </c>
      <c r="C18" s="1" t="s">
        <v>14</v>
      </c>
      <c r="E18" s="1">
        <v>0</v>
      </c>
      <c r="F18" s="1">
        <v>10</v>
      </c>
      <c r="H18" s="1">
        <v>1</v>
      </c>
      <c r="I18" s="1" t="s">
        <v>13</v>
      </c>
    </row>
    <row r="19" spans="1:9" x14ac:dyDescent="0.3">
      <c r="A19" s="1" t="s">
        <v>39</v>
      </c>
      <c r="B19" s="1" t="s">
        <v>32</v>
      </c>
      <c r="C19" s="1" t="s">
        <v>14</v>
      </c>
      <c r="E19" s="1">
        <v>0</v>
      </c>
      <c r="F19" s="1">
        <v>10</v>
      </c>
      <c r="H19" s="1">
        <v>1</v>
      </c>
      <c r="I19" s="1" t="s">
        <v>13</v>
      </c>
    </row>
    <row r="20" spans="1:9" x14ac:dyDescent="0.3">
      <c r="A20" s="1" t="s">
        <v>39</v>
      </c>
      <c r="B20" s="1" t="s">
        <v>33</v>
      </c>
      <c r="C20" s="1" t="s">
        <v>14</v>
      </c>
      <c r="E20" s="1">
        <v>0</v>
      </c>
      <c r="F20" s="1">
        <v>10</v>
      </c>
      <c r="H20" s="1">
        <v>1</v>
      </c>
      <c r="I20" s="1" t="s">
        <v>13</v>
      </c>
    </row>
    <row r="21" spans="1:9" x14ac:dyDescent="0.3">
      <c r="A21" s="1" t="s">
        <v>39</v>
      </c>
      <c r="B21" s="1" t="s">
        <v>34</v>
      </c>
      <c r="C21" s="1" t="s">
        <v>14</v>
      </c>
      <c r="E21" s="1">
        <v>0</v>
      </c>
      <c r="F21" s="1">
        <v>10</v>
      </c>
      <c r="H21" s="1">
        <v>1</v>
      </c>
      <c r="I21" s="1" t="s">
        <v>13</v>
      </c>
    </row>
    <row r="22" spans="1:9" x14ac:dyDescent="0.3">
      <c r="A22" s="1" t="s">
        <v>39</v>
      </c>
      <c r="B22" s="1" t="s">
        <v>35</v>
      </c>
      <c r="C22" s="1" t="s">
        <v>14</v>
      </c>
      <c r="E22" s="1">
        <v>0</v>
      </c>
      <c r="F22" s="1">
        <v>10</v>
      </c>
      <c r="H22" s="1">
        <v>1</v>
      </c>
      <c r="I22" s="1" t="s">
        <v>13</v>
      </c>
    </row>
    <row r="23" spans="1:9" x14ac:dyDescent="0.3">
      <c r="A23" s="1" t="s">
        <v>39</v>
      </c>
      <c r="B23" s="1" t="s">
        <v>36</v>
      </c>
      <c r="C23" s="1" t="s">
        <v>14</v>
      </c>
      <c r="E23" s="1">
        <v>0</v>
      </c>
      <c r="F23" s="1">
        <v>10</v>
      </c>
      <c r="H23" s="1">
        <v>1</v>
      </c>
      <c r="I23" s="1" t="s">
        <v>13</v>
      </c>
    </row>
    <row r="24" spans="1:9" x14ac:dyDescent="0.3">
      <c r="A24" s="1" t="s">
        <v>39</v>
      </c>
      <c r="B24" s="1" t="s">
        <v>37</v>
      </c>
      <c r="C24" s="1" t="s">
        <v>14</v>
      </c>
      <c r="E24" s="1">
        <v>0</v>
      </c>
      <c r="F24" s="1">
        <v>10</v>
      </c>
      <c r="H24" s="1">
        <v>1</v>
      </c>
      <c r="I24" s="1" t="s">
        <v>13</v>
      </c>
    </row>
    <row r="25" spans="1:9" x14ac:dyDescent="0.3">
      <c r="A25" s="1" t="s">
        <v>39</v>
      </c>
      <c r="B25" s="1" t="s">
        <v>38</v>
      </c>
      <c r="C25" s="1" t="s">
        <v>14</v>
      </c>
      <c r="E25" s="1">
        <v>0</v>
      </c>
      <c r="F25" s="1">
        <v>10</v>
      </c>
      <c r="H25" s="1">
        <v>1</v>
      </c>
      <c r="I25" s="1" t="s">
        <v>13</v>
      </c>
    </row>
    <row r="26" spans="1:9" x14ac:dyDescent="0.3">
      <c r="A26" s="1" t="s">
        <v>39</v>
      </c>
      <c r="B26" s="1" t="s">
        <v>72</v>
      </c>
      <c r="C26" s="1" t="s">
        <v>14</v>
      </c>
      <c r="E26" s="1">
        <v>0</v>
      </c>
      <c r="F26" s="1">
        <v>10</v>
      </c>
      <c r="H26" s="1">
        <v>1</v>
      </c>
      <c r="I26" s="1" t="s">
        <v>13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9.140625" defaultRowHeight="14.25" x14ac:dyDescent="0.3"/>
  <cols>
    <col min="1" max="1" width="20.7109375" style="1" customWidth="1"/>
    <col min="2" max="3" width="9.140625" style="1"/>
    <col min="4" max="4" width="61.28515625" style="1" customWidth="1"/>
    <col min="5" max="5" width="23.85546875" style="1" customWidth="1"/>
    <col min="6" max="6" width="52.42578125" style="1" customWidth="1"/>
    <col min="7" max="16384" width="9.140625" style="1"/>
  </cols>
  <sheetData>
    <row r="1" spans="1:6" s="3" customFormat="1" ht="27" customHeight="1" x14ac:dyDescent="0.3">
      <c r="A1" s="2" t="s">
        <v>1</v>
      </c>
      <c r="B1" s="2" t="s">
        <v>9</v>
      </c>
      <c r="C1" s="2" t="s">
        <v>10</v>
      </c>
      <c r="D1" s="2" t="s">
        <v>11</v>
      </c>
      <c r="E1" s="2"/>
      <c r="F1" s="2" t="s">
        <v>76</v>
      </c>
    </row>
    <row r="2" spans="1:6" x14ac:dyDescent="0.3">
      <c r="A2" s="1" t="s">
        <v>39</v>
      </c>
      <c r="B2" s="1">
        <v>4</v>
      </c>
      <c r="C2" s="1" t="s">
        <v>42</v>
      </c>
      <c r="D2" s="1" t="s">
        <v>75</v>
      </c>
    </row>
  </sheetData>
  <sheetProtection password="CA0F" sheet="1" objects="1" scenarios="1" formatCells="0" formatRows="0" insertRows="0" deleteRows="0" selectLockedCells="1" sort="0"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mdbtn">
          <controlPr defaultSize="0" autoLine="0" r:id="rId5">
            <anchor moveWithCells="1">
              <from>
                <xdr:col>4</xdr:col>
                <xdr:colOff>228600</xdr:colOff>
                <xdr:row>0</xdr:row>
                <xdr:rowOff>19050</xdr:rowOff>
              </from>
              <to>
                <xdr:col>4</xdr:col>
                <xdr:colOff>1409700</xdr:colOff>
                <xdr:row>0</xdr:row>
                <xdr:rowOff>314325</xdr:rowOff>
              </to>
            </anchor>
          </controlPr>
        </control>
      </mc:Choice>
      <mc:Fallback>
        <control shapeId="1030" r:id="rId4" name="cmdbtn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ValidateData">
            <anchor moveWithCells="1" sizeWithCells="1">
              <from>
                <xdr:col>0</xdr:col>
                <xdr:colOff>0</xdr:colOff>
                <xdr:row>0</xdr:row>
                <xdr:rowOff>133350</xdr:rowOff>
              </from>
              <to>
                <xdr:col>0</xdr:col>
                <xdr:colOff>0</xdr:colOff>
                <xdr:row>0</xdr:row>
                <xdr:rowOff>438150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Fuel</vt:lpstr>
      <vt:lpstr>Validation List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ICF</dc:creator>
  <dc:description>v 1.5</dc:description>
  <cp:lastModifiedBy>Jorge A. Macias</cp:lastModifiedBy>
  <dcterms:created xsi:type="dcterms:W3CDTF">2008-08-20T17:51:18Z</dcterms:created>
  <dcterms:modified xsi:type="dcterms:W3CDTF">2021-09-20T20:35:49Z</dcterms:modified>
</cp:coreProperties>
</file>